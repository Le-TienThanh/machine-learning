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final-project-v2\"/>
    </mc:Choice>
  </mc:AlternateContent>
  <xr:revisionPtr revIDLastSave="0" documentId="13_ncr:1_{AE8BF832-C32E-4C25-90F7-51C5D80AE6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list" sheetId="1" r:id="rId1"/>
    <sheet name="Mô tả chi tiết mô hìn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4" i="1"/>
  <c r="F8" i="1"/>
  <c r="F9" i="1"/>
  <c r="F7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5" i="1"/>
  <c r="F6" i="1"/>
  <c r="G26" i="1"/>
  <c r="F26" i="1" l="1"/>
  <c r="F2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<sst xmlns="http://schemas.openxmlformats.org/spreadsheetml/2006/main" count="124" uniqueCount="69">
  <si>
    <t>STT</t>
  </si>
  <si>
    <t>Yêu cầu</t>
  </si>
  <si>
    <t>Check</t>
  </si>
  <si>
    <t>Minh chứng</t>
  </si>
  <si>
    <t>X</t>
  </si>
  <si>
    <t>Thống kê dữ liệu mẫu</t>
  </si>
  <si>
    <t>Loại yêu cầu</t>
  </si>
  <si>
    <t>Thống kê và phân tích lỗi</t>
  </si>
  <si>
    <t>Đề xuất và lựa chọn các tiêu chí đánh giá (về độ chính xác, tốc độ, khả năng ứng dụng,...)</t>
  </si>
  <si>
    <t>YÊU CẦU BÀI TẬP CUỐI KỲ</t>
  </si>
  <si>
    <t>Xử lý dữ liệu (2 điểm)</t>
  </si>
  <si>
    <t>Đánh giá mô hình (1 điểm)</t>
  </si>
  <si>
    <t>Tên mô hình</t>
  </si>
  <si>
    <t>BẢNG MÔ TẢ CHI TIẾT MÔ HÌNH</t>
  </si>
  <si>
    <t>Điểm chữ</t>
  </si>
  <si>
    <t>Điểm số</t>
  </si>
  <si>
    <t>A</t>
  </si>
  <si>
    <t>F</t>
  </si>
  <si>
    <t>B</t>
  </si>
  <si>
    <t>C</t>
  </si>
  <si>
    <t>D</t>
  </si>
  <si>
    <t>Tổng điểm/20</t>
  </si>
  <si>
    <t>Tổng điểm/10</t>
  </si>
  <si>
    <t>Trang X - Y</t>
  </si>
  <si>
    <t>Các chỉ số đánh giá mô hình đủ điều kiện để ứng dụng vào thực tế</t>
  </si>
  <si>
    <t>Mô tả bài toán, đầu vào, đầu ra, yêu cầu xử lý</t>
  </si>
  <si>
    <t>Đánh nhãn &amp; Tiền xử lý dữ liệu</t>
  </si>
  <si>
    <t>Xử lý mất cân bằng dữ liệu (cho bài toán phân lớp) hoặc Chuyển đổi dữ liệu (cho bài toán hồi quy)</t>
  </si>
  <si>
    <t>Điều kiện dừng</t>
  </si>
  <si>
    <t>Kết quả đánh giá trên dữ liệu test theo các chỉ số</t>
  </si>
  <si>
    <t>Kiến trúc mô hình 1</t>
  </si>
  <si>
    <t>Có sử dụng mô hình tiên tiến trong 3 năm trở lại đây (chỉ ra paper liên quan)</t>
  </si>
  <si>
    <t>Có khả năng ứng dụng vào một ngữ cảnh cụ thể (ứng dụng vào bài toán nghiệp vụ nào, ai là người sử dụng)</t>
  </si>
  <si>
    <t>Đóng gói giao diện demo chương trình</t>
  </si>
  <si>
    <t>Phương pháp tối ưu hóa siêu tham số</t>
  </si>
  <si>
    <t>Siêu tham số của mô hình</t>
  </si>
  <si>
    <t>Kiến trúc mô hình 2</t>
  </si>
  <si>
    <t>Kiến trúc mô hình 3</t>
  </si>
  <si>
    <t>Kiến trúc mô hình 4</t>
  </si>
  <si>
    <t>Kiến trúc mô hình 5</t>
  </si>
  <si>
    <t>Kiến trúc mô hình 6</t>
  </si>
  <si>
    <t>Kiến trúc mô hình 7</t>
  </si>
  <si>
    <t>Kiến trúc mô hình 8</t>
  </si>
  <si>
    <t>Đóng gói mô hình (3 điểm)</t>
  </si>
  <si>
    <t>Cải tiến mô hình (4 điểm)</t>
  </si>
  <si>
    <t>Làm slide báo cáo</t>
  </si>
  <si>
    <t>Thuyết trình trên lớp</t>
  </si>
  <si>
    <t>K-nearest
neighbors</t>
  </si>
  <si>
    <t>Không có điều kiện dừng trong giai đoạn huấn luyện</t>
  </si>
  <si>
    <t>GridSearch</t>
  </si>
  <si>
    <t>- p chuyển từ 2 thành 1  
- n_neighbor chuyển từ 5 thành 10</t>
  </si>
  <si>
    <t>Logistic Regression</t>
  </si>
  <si>
    <t>max_iter = 100, tol = 0.01</t>
  </si>
  <si>
    <t>thay đổi tol từ 0.01 thành 0.0001</t>
  </si>
  <si>
    <t>SVM</t>
  </si>
  <si>
    <t>tol = 0.001</t>
  </si>
  <si>
    <t>Decision
Tree</t>
  </si>
  <si>
    <t>max_depth = 100,
min_sample _split =
2, min_samples _leaf
= 1, min_impurity
_decrease: = 0</t>
  </si>
  <si>
    <t>- thay kernel từ "linear" thành "rbf"
- thay C từ 1 thành 10
- thay gamma từ 1 thành 0.1</t>
  </si>
  <si>
    <t>- thay criterion từ "gini" thành "entropy"
- thay splitter từ "best" thành "random"</t>
  </si>
  <si>
    <t>Gradient
Boosting</t>
  </si>
  <si>
    <t>alidation_fraction: =
0.1, tol = 0.0001,
n_estimators=200</t>
  </si>
  <si>
    <t>- chuyển max_depth từ 3 thành 10 
- thay learning_rate từ 0.01 thành 0.1
- thay n_estimators từ 200 thành 100</t>
  </si>
  <si>
    <t>XGBoost</t>
  </si>
  <si>
    <t>n_estimators = 100</t>
  </si>
  <si>
    <t>- thay n_estimators từ 100 thành 200</t>
  </si>
  <si>
    <t>Random
Forest</t>
  </si>
  <si>
    <t>min_samples_split: =
2, min_samples_leaf:
= 1</t>
  </si>
  <si>
    <t>- chuyển n_estimators từ 200 thành 100
- chuyển max_depth từ 10 thành 100
- chuyển criterion từ "entropy" thành "gini"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</si>
</sst>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49" fontId="2" fillId="0" borderId="1" xfId="0" applyNumberFormat="1" applyFont="1" applyBorder="1" applyAlignment="1">
      <alignment wrapText="1"/>
    </xf>
    <xf numFmtId="0" fontId="2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vertical="center" wrapText="1"/>
    </xf>
    <xf numFmtId="49" fontId="0" fillId="0" borderId="0" xfId="0" applyNumberForma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topLeftCell="A9" workbookViewId="0">
      <selection activeCell="N22" sqref="N22"/>
    </sheetView>
  </sheetViews>
  <sheetFormatPr defaultRowHeight="13.2" x14ac:dyDescent="0.25"/>
  <cols>
    <col min="3" max="3" width="12.6640625" bestFit="1" customWidth="1"/>
    <col min="4" max="4" width="34.33203125" style="1" customWidth="1"/>
    <col min="7" max="7" width="16.44140625" style="9" customWidth="1"/>
    <col min="8" max="8" width="16.44140625" style="1" customWidth="1"/>
  </cols>
  <sheetData>
    <row r="2" spans="1:8" ht="20.25" customHeight="1" x14ac:dyDescent="0.35">
      <c r="D2" s="21" t="s">
        <v>9</v>
      </c>
      <c r="E2" s="21"/>
      <c r="F2" s="21"/>
      <c r="G2" s="21"/>
      <c r="H2" s="21"/>
    </row>
    <row r="5" spans="1:8" x14ac:dyDescent="0.25">
      <c r="A5" s="2" t="s">
        <v>0</v>
      </c>
      <c r="B5" s="2" t="s">
        <v>0</v>
      </c>
      <c r="C5" s="2" t="s">
        <v>6</v>
      </c>
      <c r="D5" s="3" t="s">
        <v>1</v>
      </c>
      <c r="E5" s="2" t="s">
        <v>14</v>
      </c>
      <c r="F5" s="2" t="s">
        <v>15</v>
      </c>
      <c r="G5" s="6" t="s">
        <v>2</v>
      </c>
      <c r="H5" s="3" t="s">
        <v>3</v>
      </c>
    </row>
    <row r="6" spans="1:8" ht="26.4" x14ac:dyDescent="0.25">
      <c r="A6" s="4">
        <v>1</v>
      </c>
      <c r="B6" s="4">
        <v>1</v>
      </c>
      <c r="C6" s="22" t="s">
        <v>10</v>
      </c>
      <c r="D6" s="20" t="s">
        <v>25</v>
      </c>
      <c r="E6" s="11" t="s">
        <v>16</v>
      </c>
      <c r="F6" s="4">
        <f t="shared" ref="F6:F24" si="0">VLOOKUP(E6,$E$30:$F$34,2)</f>
        <v>1</v>
      </c>
      <c r="G6" s="7" t="s">
        <v>4</v>
      </c>
      <c r="H6" s="15" t="s">
        <v>23</v>
      </c>
    </row>
    <row r="7" spans="1:8" x14ac:dyDescent="0.25">
      <c r="A7" s="4">
        <v>2</v>
      </c>
      <c r="B7" s="4">
        <v>2</v>
      </c>
      <c r="C7" s="23"/>
      <c r="D7" s="12" t="s">
        <v>26</v>
      </c>
      <c r="E7" s="11" t="s">
        <v>16</v>
      </c>
      <c r="F7" s="4">
        <f t="shared" si="0"/>
        <v>1</v>
      </c>
      <c r="G7" s="8"/>
      <c r="H7" s="15" t="s">
        <v>23</v>
      </c>
    </row>
    <row r="8" spans="1:8" x14ac:dyDescent="0.25">
      <c r="A8" s="4">
        <v>3</v>
      </c>
      <c r="B8" s="4">
        <v>3</v>
      </c>
      <c r="C8" s="23"/>
      <c r="D8" s="5" t="s">
        <v>5</v>
      </c>
      <c r="E8" s="11" t="s">
        <v>16</v>
      </c>
      <c r="F8" s="4">
        <f t="shared" si="0"/>
        <v>1</v>
      </c>
      <c r="G8" s="8" t="s">
        <v>4</v>
      </c>
      <c r="H8" s="15" t="s">
        <v>23</v>
      </c>
    </row>
    <row r="9" spans="1:8" ht="39.6" x14ac:dyDescent="0.25">
      <c r="A9" s="4">
        <v>4</v>
      </c>
      <c r="B9" s="4">
        <v>4</v>
      </c>
      <c r="C9" s="23"/>
      <c r="D9" s="12" t="s">
        <v>27</v>
      </c>
      <c r="E9" s="11" t="s">
        <v>16</v>
      </c>
      <c r="F9" s="4">
        <f t="shared" si="0"/>
        <v>1</v>
      </c>
      <c r="G9" s="7" t="s">
        <v>4</v>
      </c>
      <c r="H9" s="15" t="s">
        <v>23</v>
      </c>
    </row>
    <row r="10" spans="1:8" ht="39.6" x14ac:dyDescent="0.25">
      <c r="A10" s="4">
        <v>5</v>
      </c>
      <c r="B10" s="4">
        <v>5</v>
      </c>
      <c r="C10" s="26" t="s">
        <v>11</v>
      </c>
      <c r="D10" s="5" t="s">
        <v>8</v>
      </c>
      <c r="E10" s="11" t="s">
        <v>16</v>
      </c>
      <c r="F10" s="4">
        <f t="shared" si="0"/>
        <v>1</v>
      </c>
      <c r="G10" s="8" t="s">
        <v>4</v>
      </c>
      <c r="H10" s="15" t="s">
        <v>23</v>
      </c>
    </row>
    <row r="11" spans="1:8" x14ac:dyDescent="0.25">
      <c r="A11" s="4">
        <v>6</v>
      </c>
      <c r="B11" s="4">
        <v>6</v>
      </c>
      <c r="C11" s="27"/>
      <c r="D11" s="5" t="s">
        <v>7</v>
      </c>
      <c r="E11" s="11" t="s">
        <v>16</v>
      </c>
      <c r="F11" s="4">
        <f t="shared" si="0"/>
        <v>1</v>
      </c>
      <c r="G11" s="8"/>
      <c r="H11" s="15" t="s">
        <v>23</v>
      </c>
    </row>
    <row r="12" spans="1:8" x14ac:dyDescent="0.25">
      <c r="A12" s="4">
        <v>7</v>
      </c>
      <c r="B12" s="4">
        <v>7</v>
      </c>
      <c r="C12" s="28" t="s">
        <v>44</v>
      </c>
      <c r="D12" s="12" t="s">
        <v>30</v>
      </c>
      <c r="E12" s="11" t="s">
        <v>18</v>
      </c>
      <c r="F12" s="4">
        <f t="shared" si="0"/>
        <v>0.75</v>
      </c>
      <c r="G12" s="8"/>
      <c r="H12" s="15" t="s">
        <v>23</v>
      </c>
    </row>
    <row r="13" spans="1:8" x14ac:dyDescent="0.25">
      <c r="A13" s="4">
        <v>8</v>
      </c>
      <c r="B13" s="4">
        <v>8</v>
      </c>
      <c r="C13" s="27"/>
      <c r="D13" s="12" t="s">
        <v>36</v>
      </c>
      <c r="E13" s="11" t="s">
        <v>18</v>
      </c>
      <c r="F13" s="4">
        <f t="shared" si="0"/>
        <v>0.75</v>
      </c>
      <c r="G13" s="8"/>
      <c r="H13" s="15" t="s">
        <v>23</v>
      </c>
    </row>
    <row r="14" spans="1:8" x14ac:dyDescent="0.25">
      <c r="A14" s="4">
        <v>9</v>
      </c>
      <c r="B14" s="4">
        <v>9</v>
      </c>
      <c r="C14" s="27"/>
      <c r="D14" s="12" t="s">
        <v>37</v>
      </c>
      <c r="E14" s="11" t="s">
        <v>18</v>
      </c>
      <c r="F14" s="4">
        <f t="shared" si="0"/>
        <v>0.75</v>
      </c>
      <c r="G14" s="8"/>
      <c r="H14" s="15" t="s">
        <v>23</v>
      </c>
    </row>
    <row r="15" spans="1:8" x14ac:dyDescent="0.25">
      <c r="A15" s="4">
        <v>10</v>
      </c>
      <c r="B15" s="4">
        <v>10</v>
      </c>
      <c r="C15" s="27"/>
      <c r="D15" s="12" t="s">
        <v>38</v>
      </c>
      <c r="E15" s="11" t="s">
        <v>18</v>
      </c>
      <c r="F15" s="4">
        <f t="shared" si="0"/>
        <v>0.75</v>
      </c>
      <c r="G15" s="8"/>
      <c r="H15" s="15" t="s">
        <v>23</v>
      </c>
    </row>
    <row r="16" spans="1:8" x14ac:dyDescent="0.25">
      <c r="A16" s="4">
        <v>11</v>
      </c>
      <c r="B16" s="4">
        <v>11</v>
      </c>
      <c r="C16" s="27"/>
      <c r="D16" s="12" t="s">
        <v>39</v>
      </c>
      <c r="E16" s="11" t="s">
        <v>18</v>
      </c>
      <c r="F16" s="4">
        <f t="shared" si="0"/>
        <v>0.75</v>
      </c>
      <c r="G16" s="8"/>
      <c r="H16" s="15" t="s">
        <v>23</v>
      </c>
    </row>
    <row r="17" spans="1:8" x14ac:dyDescent="0.25">
      <c r="A17" s="4">
        <v>12</v>
      </c>
      <c r="B17" s="4">
        <v>12</v>
      </c>
      <c r="C17" s="27"/>
      <c r="D17" s="12" t="s">
        <v>40</v>
      </c>
      <c r="E17" s="11" t="s">
        <v>18</v>
      </c>
      <c r="F17" s="4">
        <f t="shared" si="0"/>
        <v>0.75</v>
      </c>
      <c r="G17" s="8" t="s">
        <v>4</v>
      </c>
      <c r="H17" s="15" t="s">
        <v>23</v>
      </c>
    </row>
    <row r="18" spans="1:8" x14ac:dyDescent="0.25">
      <c r="A18" s="4">
        <v>13</v>
      </c>
      <c r="B18" s="4">
        <v>13</v>
      </c>
      <c r="C18" s="27"/>
      <c r="D18" s="12" t="s">
        <v>41</v>
      </c>
      <c r="E18" s="11" t="s">
        <v>18</v>
      </c>
      <c r="F18" s="4">
        <f t="shared" si="0"/>
        <v>0.75</v>
      </c>
      <c r="G18" s="8" t="s">
        <v>4</v>
      </c>
      <c r="H18" s="15" t="s">
        <v>23</v>
      </c>
    </row>
    <row r="19" spans="1:8" x14ac:dyDescent="0.25">
      <c r="A19" s="4">
        <v>14</v>
      </c>
      <c r="B19" s="4">
        <v>14</v>
      </c>
      <c r="C19" s="27"/>
      <c r="D19" s="12" t="s">
        <v>42</v>
      </c>
      <c r="E19" s="11" t="s">
        <v>18</v>
      </c>
      <c r="F19" s="4">
        <f t="shared" si="0"/>
        <v>0.75</v>
      </c>
      <c r="G19" s="8" t="s">
        <v>4</v>
      </c>
      <c r="H19" s="15" t="s">
        <v>23</v>
      </c>
    </row>
    <row r="20" spans="1:8" ht="26.4" x14ac:dyDescent="0.25">
      <c r="A20" s="4">
        <v>15</v>
      </c>
      <c r="B20" s="4">
        <v>15</v>
      </c>
      <c r="C20" s="24" t="s">
        <v>43</v>
      </c>
      <c r="D20" s="19" t="s">
        <v>31</v>
      </c>
      <c r="E20" s="11" t="s">
        <v>16</v>
      </c>
      <c r="F20" s="4">
        <f t="shared" si="0"/>
        <v>1</v>
      </c>
      <c r="G20" s="8" t="s">
        <v>4</v>
      </c>
      <c r="H20" s="15" t="s">
        <v>23</v>
      </c>
    </row>
    <row r="21" spans="1:8" ht="39.6" x14ac:dyDescent="0.25">
      <c r="A21" s="4">
        <v>16</v>
      </c>
      <c r="B21" s="4">
        <v>16</v>
      </c>
      <c r="C21" s="25"/>
      <c r="D21" s="19" t="s">
        <v>32</v>
      </c>
      <c r="E21" s="11" t="s">
        <v>16</v>
      </c>
      <c r="F21" s="4">
        <f t="shared" si="0"/>
        <v>1</v>
      </c>
      <c r="G21" s="8" t="s">
        <v>4</v>
      </c>
      <c r="H21" s="15" t="s">
        <v>23</v>
      </c>
    </row>
    <row r="22" spans="1:8" ht="26.4" x14ac:dyDescent="0.25">
      <c r="A22" s="4">
        <v>17</v>
      </c>
      <c r="B22" s="4">
        <v>17</v>
      </c>
      <c r="C22" s="25"/>
      <c r="D22" s="12" t="s">
        <v>24</v>
      </c>
      <c r="E22" s="11" t="s">
        <v>18</v>
      </c>
      <c r="F22" s="4">
        <f t="shared" si="0"/>
        <v>0.75</v>
      </c>
      <c r="G22" s="8" t="s">
        <v>4</v>
      </c>
      <c r="H22" s="15" t="s">
        <v>23</v>
      </c>
    </row>
    <row r="23" spans="1:8" x14ac:dyDescent="0.25">
      <c r="A23" s="4">
        <v>18</v>
      </c>
      <c r="B23" s="4">
        <v>18</v>
      </c>
      <c r="C23" s="25"/>
      <c r="D23" s="12" t="s">
        <v>33</v>
      </c>
      <c r="E23" s="11" t="s">
        <v>16</v>
      </c>
      <c r="F23" s="4">
        <f t="shared" si="0"/>
        <v>1</v>
      </c>
      <c r="G23" s="8"/>
      <c r="H23" s="15"/>
    </row>
    <row r="24" spans="1:8" x14ac:dyDescent="0.25">
      <c r="A24" s="4">
        <v>19</v>
      </c>
      <c r="B24" s="4">
        <v>19</v>
      </c>
      <c r="C24" s="25"/>
      <c r="D24" s="12" t="s">
        <v>45</v>
      </c>
      <c r="E24" s="11" t="s">
        <v>16</v>
      </c>
      <c r="F24" s="4">
        <f t="shared" si="0"/>
        <v>1</v>
      </c>
      <c r="G24" s="8"/>
      <c r="H24" s="15"/>
    </row>
    <row r="25" spans="1:8" x14ac:dyDescent="0.25">
      <c r="A25" s="4">
        <v>20</v>
      </c>
      <c r="B25" s="4">
        <v>20</v>
      </c>
      <c r="C25" s="25"/>
      <c r="D25" s="12" t="s">
        <v>46</v>
      </c>
      <c r="E25" s="11" t="s">
        <v>18</v>
      </c>
      <c r="F25" s="4">
        <f>VLOOKUP(E25,$E$30:$F$34,2)</f>
        <v>0.75</v>
      </c>
      <c r="G25" s="8" t="s">
        <v>4</v>
      </c>
      <c r="H25" s="15" t="s">
        <v>23</v>
      </c>
    </row>
    <row r="26" spans="1:8" x14ac:dyDescent="0.25">
      <c r="D26" s="12" t="s">
        <v>21</v>
      </c>
      <c r="E26" s="4"/>
      <c r="F26" s="18">
        <f xml:space="preserve"> SUM(F6:F25)</f>
        <v>17.5</v>
      </c>
      <c r="G26" s="10">
        <f xml:space="preserve"> SUMIF(G6:G25,"X",E6:E25)</f>
        <v>0</v>
      </c>
    </row>
    <row r="27" spans="1:8" x14ac:dyDescent="0.25">
      <c r="D27" s="12" t="s">
        <v>22</v>
      </c>
      <c r="E27" s="4"/>
      <c r="F27" s="14">
        <f>ROUND(F26,0)/2</f>
        <v>9</v>
      </c>
    </row>
    <row r="30" spans="1:8" x14ac:dyDescent="0.25">
      <c r="E30" s="16" t="s">
        <v>16</v>
      </c>
      <c r="F30" s="17">
        <v>1</v>
      </c>
    </row>
    <row r="31" spans="1:8" x14ac:dyDescent="0.25">
      <c r="E31" s="16" t="s">
        <v>18</v>
      </c>
      <c r="F31" s="17">
        <v>0.75</v>
      </c>
    </row>
    <row r="32" spans="1:8" x14ac:dyDescent="0.25">
      <c r="E32" s="16" t="s">
        <v>19</v>
      </c>
      <c r="F32" s="17">
        <v>0.5</v>
      </c>
    </row>
    <row r="33" spans="5:6" x14ac:dyDescent="0.25">
      <c r="E33" s="16" t="s">
        <v>20</v>
      </c>
      <c r="F33" s="17">
        <v>0.25</v>
      </c>
    </row>
    <row r="34" spans="5:6" x14ac:dyDescent="0.25">
      <c r="E34" s="16" t="s">
        <v>17</v>
      </c>
      <c r="F34" s="17">
        <v>0</v>
      </c>
    </row>
  </sheetData>
  <mergeCells count="5">
    <mergeCell ref="D2:H2"/>
    <mergeCell ref="C6:C9"/>
    <mergeCell ref="C20:C25"/>
    <mergeCell ref="C10:C11"/>
    <mergeCell ref="C12:C19"/>
  </mergeCells>
  <phoneticPr fontId="1" type="noConversion"/>
  <conditionalFormatting sqref="G6:G25">
    <cfRule type="cellIs" dxfId="0" priority="15" operator="equal">
      <formula>"X"</formula>
    </cfRule>
    <cfRule type="colorScale" priority="16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E48-3967-454C-9F8A-E00D77A0DFE1}">
  <dimension ref="A2:F12"/>
  <sheetViews>
    <sheetView tabSelected="1" topLeftCell="A9" workbookViewId="0">
      <selection activeCell="I11" sqref="I11"/>
    </sheetView>
  </sheetViews>
  <sheetFormatPr defaultRowHeight="13.2" x14ac:dyDescent="0.25"/>
  <cols>
    <col min="2" max="2" width="14.44140625" customWidth="1"/>
    <col min="3" max="3" width="22" bestFit="1" customWidth="1"/>
    <col min="4" max="4" width="22.21875" customWidth="1"/>
    <col min="5" max="5" width="27.33203125" style="31" bestFit="1" customWidth="1"/>
    <col min="6" max="6" width="42" customWidth="1"/>
  </cols>
  <sheetData>
    <row r="2" spans="1:6" ht="20.399999999999999" x14ac:dyDescent="0.35">
      <c r="B2" s="21" t="s">
        <v>13</v>
      </c>
      <c r="C2" s="21"/>
      <c r="D2" s="21"/>
      <c r="E2" s="21"/>
      <c r="F2" s="21"/>
    </row>
    <row r="5" spans="1:6" s="1" customFormat="1" ht="26.4" x14ac:dyDescent="0.25">
      <c r="A5" s="3" t="s">
        <v>0</v>
      </c>
      <c r="B5" s="3" t="s">
        <v>12</v>
      </c>
      <c r="C5" s="3" t="s">
        <v>28</v>
      </c>
      <c r="D5" s="3" t="s">
        <v>34</v>
      </c>
      <c r="E5" s="29" t="s">
        <v>35</v>
      </c>
      <c r="F5" s="3" t="s">
        <v>29</v>
      </c>
    </row>
    <row r="6" spans="1:6" ht="107.4" customHeight="1" x14ac:dyDescent="0.25">
      <c r="A6" s="32">
        <v>1</v>
      </c>
      <c r="B6" s="13" t="s">
        <v>47</v>
      </c>
      <c r="C6" s="13" t="s">
        <v>48</v>
      </c>
      <c r="D6" s="33" t="s">
        <v>49</v>
      </c>
      <c r="E6" s="30" t="s">
        <v>50</v>
      </c>
      <c r="F6" s="33" t="e" vm="1">
        <v>#VALUE!</v>
      </c>
    </row>
    <row r="7" spans="1:6" ht="99.6" customHeight="1" x14ac:dyDescent="0.25">
      <c r="A7" s="32">
        <v>2</v>
      </c>
      <c r="B7" s="13" t="s">
        <v>51</v>
      </c>
      <c r="C7" s="33" t="s">
        <v>52</v>
      </c>
      <c r="D7" s="33" t="s">
        <v>49</v>
      </c>
      <c r="E7" s="30" t="s">
        <v>53</v>
      </c>
      <c r="F7" s="32" t="e" vm="2">
        <v>#VALUE!</v>
      </c>
    </row>
    <row r="8" spans="1:6" ht="120" customHeight="1" x14ac:dyDescent="0.25">
      <c r="A8" s="32">
        <v>3</v>
      </c>
      <c r="B8" s="33" t="s">
        <v>54</v>
      </c>
      <c r="C8" s="33" t="s">
        <v>55</v>
      </c>
      <c r="D8" s="33" t="s">
        <v>49</v>
      </c>
      <c r="E8" s="30" t="s">
        <v>58</v>
      </c>
      <c r="F8" s="32" t="e" vm="3">
        <v>#VALUE!</v>
      </c>
    </row>
    <row r="9" spans="1:6" ht="97.2" customHeight="1" x14ac:dyDescent="0.25">
      <c r="A9" s="32">
        <v>4</v>
      </c>
      <c r="B9" s="13" t="s">
        <v>56</v>
      </c>
      <c r="C9" s="13" t="s">
        <v>57</v>
      </c>
      <c r="D9" s="33" t="s">
        <v>49</v>
      </c>
      <c r="E9" s="30" t="s">
        <v>59</v>
      </c>
      <c r="F9" s="32" t="e" vm="4">
        <v>#VALUE!</v>
      </c>
    </row>
    <row r="10" spans="1:6" ht="102" customHeight="1" x14ac:dyDescent="0.25">
      <c r="A10" s="32">
        <v>5</v>
      </c>
      <c r="B10" s="13" t="s">
        <v>60</v>
      </c>
      <c r="C10" s="13" t="s">
        <v>61</v>
      </c>
      <c r="D10" s="33" t="s">
        <v>49</v>
      </c>
      <c r="E10" s="30" t="s">
        <v>62</v>
      </c>
      <c r="F10" s="32" t="e" vm="5">
        <v>#VALUE!</v>
      </c>
    </row>
    <row r="11" spans="1:6" ht="124.2" customHeight="1" x14ac:dyDescent="0.25">
      <c r="A11" s="32">
        <v>6</v>
      </c>
      <c r="B11" s="33" t="s">
        <v>63</v>
      </c>
      <c r="C11" s="32" t="s">
        <v>64</v>
      </c>
      <c r="D11" s="33" t="s">
        <v>49</v>
      </c>
      <c r="E11" s="30" t="s">
        <v>65</v>
      </c>
      <c r="F11" s="32" t="e" vm="6">
        <v>#VALUE!</v>
      </c>
    </row>
    <row r="12" spans="1:6" ht="127.2" customHeight="1" x14ac:dyDescent="0.25">
      <c r="A12" s="32">
        <v>7</v>
      </c>
      <c r="B12" s="13" t="s">
        <v>66</v>
      </c>
      <c r="C12" s="13" t="s">
        <v>67</v>
      </c>
      <c r="D12" s="33" t="s">
        <v>49</v>
      </c>
      <c r="E12" s="30" t="s">
        <v>68</v>
      </c>
      <c r="F12" s="32" t="e" vm="7">
        <v>#VALUE!</v>
      </c>
    </row>
  </sheetData>
  <mergeCells count="1">
    <mergeCell ref="B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1b4dbb5-beff-476c-bbb3-c31ea1619e8a" xsi:nil="true"/>
    <TaxCatchAll xmlns="26c42173-7c7d-4d52-b6a8-37d7c4470ab9" xsi:nil="true"/>
    <lcf76f155ced4ddcb4097134ff3c332f xmlns="c1b4dbb5-beff-476c-bbb3-c31ea1619e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C2CA215B04F2409E158AC59B18B795" ma:contentTypeVersion="12" ma:contentTypeDescription="Create a new document." ma:contentTypeScope="" ma:versionID="ac3f28953c09b3fee79f37f7a4389cd9">
  <xsd:schema xmlns:xsd="http://www.w3.org/2001/XMLSchema" xmlns:xs="http://www.w3.org/2001/XMLSchema" xmlns:p="http://schemas.microsoft.com/office/2006/metadata/properties" xmlns:ns2="c1b4dbb5-beff-476c-bbb3-c31ea1619e8a" xmlns:ns3="26c42173-7c7d-4d52-b6a8-37d7c4470ab9" targetNamespace="http://schemas.microsoft.com/office/2006/metadata/properties" ma:root="true" ma:fieldsID="3f8aca859673a8d979f4ffd839541488" ns2:_="" ns3:_="">
    <xsd:import namespace="c1b4dbb5-beff-476c-bbb3-c31ea1619e8a"/>
    <xsd:import namespace="26c42173-7c7d-4d52-b6a8-37d7c4470ab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4dbb5-beff-476c-bbb3-c31ea1619e8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42173-7c7d-4d52-b6a8-37d7c4470ab9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222c902f-0ea7-49b4-a4eb-c3f655b7c8d2}" ma:internalName="TaxCatchAll" ma:showField="CatchAllData" ma:web="26c42173-7c7d-4d52-b6a8-37d7c4470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BBB64-95B2-4692-A7FE-7B32F148EF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15870-1010-43C1-8228-D611A5F1B757}">
  <ds:schemaRefs>
    <ds:schemaRef ds:uri="http://schemas.microsoft.com/office/2006/metadata/properties"/>
    <ds:schemaRef ds:uri="http://schemas.microsoft.com/office/infopath/2007/PartnerControls"/>
    <ds:schemaRef ds:uri="7177bf07-2d36-425a-907d-6b2356921bb8"/>
    <ds:schemaRef ds:uri="c1b4dbb5-beff-476c-bbb3-c31ea1619e8a"/>
    <ds:schemaRef ds:uri="26c42173-7c7d-4d52-b6a8-37d7c4470ab9"/>
  </ds:schemaRefs>
</ds:datastoreItem>
</file>

<file path=customXml/itemProps3.xml><?xml version="1.0" encoding="utf-8"?>
<ds:datastoreItem xmlns:ds="http://schemas.openxmlformats.org/officeDocument/2006/customXml" ds:itemID="{A2EC943E-92F5-44FA-A539-B28D6C12F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b4dbb5-beff-476c-bbb3-c31ea1619e8a"/>
    <ds:schemaRef ds:uri="26c42173-7c7d-4d52-b6a8-37d7c4470a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Mô tả chi tiết mô hình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Tien Thanh 20227070</cp:lastModifiedBy>
  <dcterms:created xsi:type="dcterms:W3CDTF">1996-10-14T23:33:28Z</dcterms:created>
  <dcterms:modified xsi:type="dcterms:W3CDTF">2025-06-08T13:26:43Z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0x0101008EC2CA215B04F2409E158AC59B18B795</vt:lpwstr>
  </property>
</Properties>
</file>